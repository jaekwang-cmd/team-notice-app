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이재현\Documents\카카오톡 받은 파일\"/>
    </mc:Choice>
  </mc:AlternateContent>
  <bookViews>
    <workbookView xWindow="-50235" yWindow="8445" windowWidth="38640" windowHeight="14325"/>
  </bookViews>
  <sheets>
    <sheet name="6월" sheetId="4" r:id="rId1"/>
    <sheet name="원장" sheetId="5" r:id="rId2"/>
  </sheets>
  <calcPr calcId="162913" iterate="1" iterateCount="10" iterateDelta="1.0000000000000001E-5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<sst xmlns="http://schemas.openxmlformats.org/spreadsheetml/2006/main" count="102" uniqueCount="77">
  <si>
    <t>구분</t>
    <phoneticPr fontId="2" type="noConversion"/>
  </si>
  <si>
    <t>차종</t>
    <phoneticPr fontId="2" type="noConversion"/>
  </si>
  <si>
    <t>차량가액</t>
    <phoneticPr fontId="2" type="noConversion"/>
  </si>
  <si>
    <t>수수료
(VAT제외)</t>
    <phoneticPr fontId="2" type="noConversion"/>
  </si>
  <si>
    <t>계산서
발행된
용품비</t>
    <phoneticPr fontId="2" type="noConversion"/>
  </si>
  <si>
    <t>개인 차비/
실적이관</t>
    <phoneticPr fontId="2" type="noConversion"/>
  </si>
  <si>
    <t>메모란 // 비고
(실적이관 입금날짜 및 세부내역)</t>
    <phoneticPr fontId="2" type="noConversion"/>
  </si>
  <si>
    <t>책상비</t>
    <phoneticPr fontId="2" type="noConversion"/>
  </si>
  <si>
    <t>최종지급액</t>
    <phoneticPr fontId="2" type="noConversion"/>
  </si>
  <si>
    <t>합     계</t>
    <phoneticPr fontId="2" type="noConversion"/>
  </si>
  <si>
    <t>에이원오토 수수료지급 정산서</t>
    <phoneticPr fontId="2" type="noConversion"/>
  </si>
  <si>
    <t>수수료
(VAT포함)</t>
    <phoneticPr fontId="2" type="noConversion"/>
  </si>
  <si>
    <t>용품비
제외수수료</t>
    <phoneticPr fontId="2" type="noConversion"/>
  </si>
  <si>
    <t>VAT 제외
수수료</t>
    <phoneticPr fontId="2" type="noConversion"/>
  </si>
  <si>
    <t>페이백
정산후 금액</t>
    <phoneticPr fontId="2" type="noConversion"/>
  </si>
  <si>
    <t>소득신고
(원지급액+
페이백)</t>
    <phoneticPr fontId="2" type="noConversion"/>
  </si>
  <si>
    <t>소득세</t>
    <phoneticPr fontId="2" type="noConversion"/>
  </si>
  <si>
    <t>원지급액</t>
    <phoneticPr fontId="2" type="noConversion"/>
  </si>
  <si>
    <t>최종</t>
    <phoneticPr fontId="2" type="noConversion"/>
  </si>
  <si>
    <t>대표자명 / 사업자명</t>
    <phoneticPr fontId="2" type="noConversion"/>
  </si>
  <si>
    <t>직책</t>
    <phoneticPr fontId="2" type="noConversion"/>
  </si>
  <si>
    <t>수수료율</t>
    <phoneticPr fontId="2" type="noConversion"/>
  </si>
  <si>
    <t>지점장</t>
    <phoneticPr fontId="2" type="noConversion"/>
  </si>
  <si>
    <t>상품</t>
    <phoneticPr fontId="2" type="noConversion"/>
  </si>
  <si>
    <t>담 당 자</t>
    <phoneticPr fontId="2" type="noConversion"/>
  </si>
  <si>
    <t>페이백/
용품비/보증금 등</t>
    <phoneticPr fontId="2" type="noConversion"/>
  </si>
  <si>
    <t>진행금융사</t>
    <phoneticPr fontId="2" type="noConversion"/>
  </si>
  <si>
    <t>DB경로</t>
    <phoneticPr fontId="2" type="noConversion"/>
  </si>
  <si>
    <t>0p 지원여부</t>
    <phoneticPr fontId="2" type="noConversion"/>
  </si>
  <si>
    <t>리텐션 횟수</t>
    <phoneticPr fontId="2" type="noConversion"/>
  </si>
  <si>
    <t>프로모션</t>
    <phoneticPr fontId="2" type="noConversion"/>
  </si>
  <si>
    <t>카판결제 여부</t>
    <phoneticPr fontId="2" type="noConversion"/>
  </si>
  <si>
    <t>미 정산 &amp; 미 지급 : 10대</t>
    <phoneticPr fontId="2" type="noConversion"/>
  </si>
  <si>
    <t>대리</t>
    <phoneticPr fontId="2" type="noConversion"/>
  </si>
  <si>
    <t>미결제</t>
  </si>
  <si>
    <t>대리</t>
  </si>
  <si>
    <t>김형석</t>
    <phoneticPr fontId="2" type="noConversion"/>
  </si>
  <si>
    <t>에이원</t>
    <phoneticPr fontId="2" type="noConversion"/>
  </si>
  <si>
    <t>JB우리캐피탈</t>
    <phoneticPr fontId="2" type="noConversion"/>
  </si>
  <si>
    <t>렌트</t>
    <phoneticPr fontId="2" type="noConversion"/>
  </si>
  <si>
    <t>동영산업 / 장범호</t>
    <phoneticPr fontId="2" type="noConversion"/>
  </si>
  <si>
    <t>쏘렌토HEV</t>
    <phoneticPr fontId="2" type="noConversion"/>
  </si>
  <si>
    <t>KB캐피탈</t>
    <phoneticPr fontId="2" type="noConversion"/>
  </si>
  <si>
    <t>도깨비호떡 / 이도율</t>
    <phoneticPr fontId="2" type="noConversion"/>
  </si>
  <si>
    <t>김용여</t>
    <phoneticPr fontId="2" type="noConversion"/>
  </si>
  <si>
    <t>그랜저HEV</t>
    <phoneticPr fontId="2" type="noConversion"/>
  </si>
  <si>
    <t>IM캐피탈</t>
    <phoneticPr fontId="2" type="noConversion"/>
  </si>
  <si>
    <t>임진영</t>
    <phoneticPr fontId="2" type="noConversion"/>
  </si>
  <si>
    <t>신화이앤씨 주식회사 / 이상진</t>
    <phoneticPr fontId="2" type="noConversion"/>
  </si>
  <si>
    <t>소개</t>
    <phoneticPr fontId="2" type="noConversion"/>
  </si>
  <si>
    <t>현대캐피탈(영등포)</t>
    <phoneticPr fontId="2" type="noConversion"/>
  </si>
  <si>
    <t>안병준</t>
    <phoneticPr fontId="2" type="noConversion"/>
  </si>
  <si>
    <t>EV4</t>
    <phoneticPr fontId="2" type="noConversion"/>
  </si>
  <si>
    <t>하나캐피탈</t>
    <phoneticPr fontId="2" type="noConversion"/>
  </si>
  <si>
    <t>청송기사식당 / 이건환</t>
    <phoneticPr fontId="2" type="noConversion"/>
  </si>
  <si>
    <t>대리_7대이상</t>
  </si>
  <si>
    <t>할부</t>
    <phoneticPr fontId="2" type="noConversion"/>
  </si>
  <si>
    <t>BMW파이낸셜</t>
    <phoneticPr fontId="2" type="noConversion"/>
  </si>
  <si>
    <t>백경문</t>
    <phoneticPr fontId="2" type="noConversion"/>
  </si>
  <si>
    <t>X3 xDrive M spt Pro</t>
    <phoneticPr fontId="2" type="noConversion"/>
  </si>
  <si>
    <t>X</t>
  </si>
  <si>
    <t>87회</t>
    <phoneticPr fontId="2" type="noConversion"/>
  </si>
  <si>
    <t>프로모션(318,836) / 대리점(1,456,700) / 선납금지원(-728,000) / 코일매트(-35,000) / 스타오토케어(-507,700)</t>
    <phoneticPr fontId="2" type="noConversion"/>
  </si>
  <si>
    <t>88회</t>
    <phoneticPr fontId="2" type="noConversion"/>
  </si>
  <si>
    <t>89회</t>
    <phoneticPr fontId="2" type="noConversion"/>
  </si>
  <si>
    <t>프로모션(783,545) / 대리점(1,365,794) / 코일매트(-35,000) / 패키지(-69,000) / 스타오토케어(-322,200)</t>
    <phoneticPr fontId="2" type="noConversion"/>
  </si>
  <si>
    <t>90회</t>
    <phoneticPr fontId="2" type="noConversion"/>
  </si>
  <si>
    <t>프로모션(645,818) / 대리점(1,573,670) / 선납금지원(-1,040,000) / 코일매트(-35,000) / 스타오토케어(-305,700)</t>
    <phoneticPr fontId="2" type="noConversion"/>
  </si>
  <si>
    <t>프로모션(681,133) / 대리점(1,325,030) / 페이백(-1,240,951) / 쿠팡(-109,900) / 코일매트(-35,000) / 패키지(-69,000)</t>
    <phoneticPr fontId="2" type="noConversion"/>
  </si>
  <si>
    <t>91회</t>
    <phoneticPr fontId="2" type="noConversion"/>
  </si>
  <si>
    <t>92회</t>
    <phoneticPr fontId="2" type="noConversion"/>
  </si>
  <si>
    <t>93회</t>
    <phoneticPr fontId="2" type="noConversion"/>
  </si>
  <si>
    <t>코일매트(-35,000) / 딜러수당(90,910)</t>
    <phoneticPr fontId="2" type="noConversion"/>
  </si>
  <si>
    <t>94회</t>
    <phoneticPr fontId="2" type="noConversion"/>
  </si>
  <si>
    <t xml:space="preserve">프로모션(437,300) / 매트(-70,000) / 패키지(-67,000) </t>
    <phoneticPr fontId="2" type="noConversion"/>
  </si>
  <si>
    <t>프로모션(349,818) / 페이백(-103,412) / 코일매트(-22,000) / 패키지(-69,000) / 패키지(-69,000)</t>
    <phoneticPr fontId="2" type="noConversion"/>
  </si>
  <si>
    <t>프로모션(354,727) / 프로모션2(454,545) / 대리점(1,448,248) / 스타오토케어(-520,200) / 코일매트(-35,000)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</si>
</sst>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\ "/>
    <numFmt numFmtId="177" formatCode="_-* #,##0_-;\-* #,##0_-;_-* &quot;-&quot;??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Dashed">
        <color rgb="FFFF0000"/>
      </top>
      <bottom style="mediumDashed">
        <color rgb="FFFF0000"/>
      </bottom>
      <diagonal/>
    </border>
    <border>
      <left/>
      <right/>
      <top style="mediumDashed">
        <color rgb="FFFF0000"/>
      </top>
      <bottom style="mediumDashed">
        <color rgb="FFFF0000"/>
      </bottom>
      <diagonal/>
    </border>
    <border>
      <left/>
      <right style="thin">
        <color auto="1"/>
      </right>
      <top style="mediumDashed">
        <color rgb="FFFF0000"/>
      </top>
      <bottom style="mediumDashed">
        <color rgb="FFFF0000"/>
      </bottom>
      <diagonal/>
    </border>
    <border>
      <left style="mediumDashed">
        <color rgb="FFFF0000"/>
      </left>
      <right/>
      <top style="mediumDashed">
        <color rgb="FFFF0000"/>
      </top>
      <bottom style="mediumDashed">
        <color rgb="FFFF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41" fontId="4" fillId="0" borderId="4" xfId="1" applyFont="1" applyFill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41" fontId="5" fillId="0" borderId="4" xfId="1" applyFont="1" applyFill="1" applyBorder="1" applyAlignment="1" applyProtection="1">
      <alignment horizontal="center" vertical="center"/>
      <protection locked="0"/>
    </xf>
    <xf numFmtId="0" fontId="7" fillId="0" borderId="0" xfId="0" applyFont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5" borderId="4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7" fillId="0" borderId="4" xfId="0" applyFont="1" applyBorder="1" applyProtection="1">
      <alignment vertical="center"/>
      <protection locked="0"/>
    </xf>
    <xf numFmtId="176" fontId="5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76" fontId="4" fillId="0" borderId="4" xfId="0" applyNumberFormat="1" applyFont="1" applyBorder="1" applyAlignment="1" applyProtection="1">
      <alignment horizontal="center" vertical="center"/>
      <protection locked="0"/>
    </xf>
    <xf numFmtId="41" fontId="13" fillId="5" borderId="16" xfId="1" applyFont="1" applyFill="1" applyBorder="1" applyProtection="1">
      <alignment vertical="center"/>
    </xf>
    <xf numFmtId="41" fontId="14" fillId="5" borderId="16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41" fontId="4" fillId="0" borderId="0" xfId="1" applyFont="1" applyFill="1" applyBorder="1" applyAlignment="1" applyProtection="1">
      <alignment horizontal="center" vertical="center"/>
      <protection locked="0"/>
    </xf>
    <xf numFmtId="41" fontId="4" fillId="0" borderId="0" xfId="1" applyFont="1" applyFill="1" applyBorder="1" applyProtection="1">
      <alignment vertical="center"/>
      <protection locked="0"/>
    </xf>
    <xf numFmtId="41" fontId="11" fillId="3" borderId="5" xfId="1" applyFont="1" applyFill="1" applyBorder="1" applyAlignment="1" applyProtection="1">
      <alignment horizontal="center" vertical="center"/>
    </xf>
    <xf numFmtId="41" fontId="4" fillId="0" borderId="0" xfId="1" applyFont="1" applyFill="1" applyBorder="1" applyAlignment="1" applyProtection="1">
      <alignment horizontal="right" vertical="center" indent="1"/>
      <protection locked="0"/>
    </xf>
    <xf numFmtId="41" fontId="11" fillId="3" borderId="9" xfId="1" applyFont="1" applyFill="1" applyBorder="1" applyAlignment="1" applyProtection="1">
      <alignment horizontal="center" vertical="center"/>
    </xf>
    <xf numFmtId="41" fontId="11" fillId="4" borderId="9" xfId="1" applyFont="1" applyFill="1" applyBorder="1" applyProtection="1">
      <alignment vertical="center"/>
    </xf>
    <xf numFmtId="0" fontId="10" fillId="7" borderId="4" xfId="0" applyFont="1" applyFill="1" applyBorder="1" applyAlignment="1" applyProtection="1">
      <alignment horizontal="center" vertical="center"/>
      <protection locked="0"/>
    </xf>
    <xf numFmtId="41" fontId="11" fillId="0" borderId="5" xfId="1" applyFont="1" applyFill="1" applyBorder="1" applyProtection="1">
      <alignment vertical="center"/>
      <protection locked="0"/>
    </xf>
    <xf numFmtId="0" fontId="8" fillId="5" borderId="4" xfId="0" applyFont="1" applyFill="1" applyBorder="1" applyAlignment="1">
      <alignment horizontal="center" vertical="center"/>
    </xf>
    <xf numFmtId="41" fontId="13" fillId="5" borderId="16" xfId="0" applyNumberFormat="1" applyFont="1" applyFill="1" applyBorder="1">
      <alignment vertical="center"/>
    </xf>
    <xf numFmtId="0" fontId="10" fillId="0" borderId="4" xfId="0" applyFont="1" applyBorder="1" applyAlignment="1" applyProtection="1">
      <alignment horizontal="center" vertical="center"/>
      <protection locked="0"/>
    </xf>
    <xf numFmtId="0" fontId="5" fillId="10" borderId="4" xfId="0" applyFont="1" applyFill="1" applyBorder="1" applyAlignment="1" applyProtection="1">
      <alignment horizontal="center" vertical="center"/>
      <protection locked="0"/>
    </xf>
    <xf numFmtId="14" fontId="5" fillId="10" borderId="4" xfId="0" applyNumberFormat="1" applyFont="1" applyFill="1" applyBorder="1" applyAlignment="1" applyProtection="1">
      <alignment horizontal="center" vertical="center"/>
      <protection locked="0"/>
    </xf>
    <xf numFmtId="41" fontId="5" fillId="10" borderId="4" xfId="1" applyFont="1" applyFill="1" applyBorder="1" applyAlignment="1" applyProtection="1">
      <alignment horizontal="center" vertical="center"/>
      <protection locked="0"/>
    </xf>
    <xf numFmtId="0" fontId="10" fillId="11" borderId="4" xfId="0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9" fontId="6" fillId="5" borderId="4" xfId="0" applyNumberFormat="1" applyFont="1" applyFill="1" applyBorder="1" applyAlignment="1" applyProtection="1">
      <alignment horizontal="center" vertical="center"/>
      <protection locked="0"/>
    </xf>
    <xf numFmtId="41" fontId="12" fillId="0" borderId="4" xfId="1" applyFont="1" applyFill="1" applyBorder="1" applyAlignment="1" applyProtection="1">
      <alignment horizontal="center" vertical="center"/>
      <protection locked="0"/>
    </xf>
    <xf numFmtId="41" fontId="12" fillId="5" borderId="4" xfId="1" applyFont="1" applyFill="1" applyBorder="1" applyAlignment="1" applyProtection="1">
      <alignment horizontal="center" vertical="center"/>
      <protection locked="0"/>
    </xf>
    <xf numFmtId="9" fontId="12" fillId="5" borderId="4" xfId="1" applyNumberFormat="1" applyFont="1" applyFill="1" applyBorder="1" applyAlignment="1" applyProtection="1">
      <alignment horizontal="center" vertical="center"/>
      <protection locked="0"/>
    </xf>
    <xf numFmtId="41" fontId="12" fillId="0" borderId="4" xfId="1" applyFont="1" applyFill="1" applyBorder="1" applyAlignment="1" applyProtection="1">
      <alignment horizontal="center" vertical="center" wrapText="1"/>
      <protection locked="0"/>
    </xf>
    <xf numFmtId="177" fontId="7" fillId="0" borderId="4" xfId="0" applyNumberFormat="1" applyFont="1" applyBorder="1" applyProtection="1">
      <alignment vertical="center"/>
      <protection locked="0"/>
    </xf>
    <xf numFmtId="41" fontId="5" fillId="6" borderId="4" xfId="1" applyFont="1" applyFill="1" applyBorder="1" applyAlignment="1" applyProtection="1">
      <alignment horizontal="center" vertical="center"/>
    </xf>
    <xf numFmtId="41" fontId="5" fillId="8" borderId="4" xfId="1" applyFont="1" applyFill="1" applyBorder="1" applyAlignment="1" applyProtection="1">
      <alignment horizontal="center" vertical="center"/>
      <protection locked="0"/>
    </xf>
    <xf numFmtId="41" fontId="4" fillId="8" borderId="4" xfId="1" applyFont="1" applyFill="1" applyBorder="1" applyAlignment="1" applyProtection="1">
      <alignment horizontal="center" vertical="center"/>
      <protection locked="0"/>
    </xf>
    <xf numFmtId="41" fontId="4" fillId="6" borderId="4" xfId="1" applyFont="1" applyFill="1" applyBorder="1" applyAlignment="1" applyProtection="1">
      <alignment horizontal="center" vertical="center"/>
    </xf>
    <xf numFmtId="41" fontId="4" fillId="6" borderId="15" xfId="1" applyFont="1" applyFill="1" applyBorder="1" applyAlignment="1" applyProtection="1">
      <alignment horizontal="center" vertical="center"/>
    </xf>
    <xf numFmtId="41" fontId="4" fillId="8" borderId="15" xfId="1" applyFont="1" applyFill="1" applyBorder="1" applyAlignment="1" applyProtection="1">
      <alignment horizontal="center" vertical="center"/>
      <protection locked="0"/>
    </xf>
    <xf numFmtId="41" fontId="5" fillId="0" borderId="4" xfId="1" applyFont="1" applyFill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6" fillId="7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41" fontId="3" fillId="0" borderId="10" xfId="1" applyFont="1" applyFill="1" applyBorder="1" applyAlignment="1" applyProtection="1">
      <alignment horizontal="center" vertical="center"/>
      <protection locked="0"/>
    </xf>
    <xf numFmtId="41" fontId="3" fillId="0" borderId="0" xfId="1" applyFont="1" applyFill="1" applyBorder="1" applyAlignment="1" applyProtection="1">
      <alignment horizontal="center" vertical="center"/>
      <protection locked="0"/>
    </xf>
    <xf numFmtId="41" fontId="3" fillId="0" borderId="11" xfId="1" applyFont="1" applyFill="1" applyBorder="1" applyAlignment="1" applyProtection="1">
      <alignment horizontal="center" vertical="center"/>
      <protection locked="0"/>
    </xf>
    <xf numFmtId="41" fontId="3" fillId="0" borderId="6" xfId="1" applyFont="1" applyFill="1" applyBorder="1" applyAlignment="1" applyProtection="1">
      <alignment horizontal="center" vertical="center"/>
      <protection locked="0"/>
    </xf>
    <xf numFmtId="41" fontId="3" fillId="0" borderId="7" xfId="1" applyFont="1" applyFill="1" applyBorder="1" applyAlignment="1" applyProtection="1">
      <alignment horizontal="center" vertical="center"/>
      <protection locked="0"/>
    </xf>
    <xf numFmtId="41" fontId="3" fillId="0" borderId="8" xfId="1" applyFont="1" applyFill="1" applyBorder="1" applyAlignment="1" applyProtection="1">
      <alignment horizontal="center" vertical="center"/>
      <protection locked="0"/>
    </xf>
    <xf numFmtId="0" fontId="15" fillId="7" borderId="12" xfId="0" applyFont="1" applyFill="1" applyBorder="1" applyAlignment="1">
      <alignment horizontal="center" vertical="center" wrapText="1"/>
    </xf>
    <xf numFmtId="0" fontId="15" fillId="7" borderId="13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10" fontId="10" fillId="7" borderId="12" xfId="0" applyNumberFormat="1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11" fillId="7" borderId="4" xfId="0" applyFont="1" applyFill="1" applyBorder="1" applyAlignment="1" applyProtection="1">
      <alignment horizontal="center" vertical="center"/>
      <protection locked="0"/>
    </xf>
    <xf numFmtId="0" fontId="18" fillId="9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76" fontId="5" fillId="0" borderId="4" xfId="0" applyNumberFormat="1" applyFont="1" applyBorder="1" applyAlignment="1" applyProtection="1">
      <alignment horizontal="center" vertical="center"/>
      <protection locked="0"/>
    </xf>
    <xf numFmtId="0" fontId="10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abSelected="1" topLeftCell="A2" zoomScale="55" zoomScaleNormal="55" workbookViewId="0">
      <selection activeCell="Z27" sqref="Z27"/>
    </sheetView>
  </sheetViews>
  <sheetFormatPr defaultColWidth="19.5" defaultRowHeight="0" customHeight="1" zeroHeight="1" x14ac:dyDescent="0.3"/>
  <cols>
    <col min="1" max="1" width="5.125" style="4" customWidth="1"/>
    <col min="2" max="2" width="12.875" style="4" customWidth="1"/>
    <col min="3" max="3" width="25" style="4" customWidth="1"/>
    <col min="4" max="4" width="13.75" style="4" customWidth="1"/>
    <col min="5" max="5" width="33.375" style="4" customWidth="1"/>
    <col min="6" max="6" width="42.625" style="4" customWidth="1"/>
    <col min="7" max="7" width="20.5" style="4" customWidth="1"/>
    <col min="8" max="17" width="17.625" style="4" customWidth="1"/>
    <col min="18" max="18" width="25.125" style="4" customWidth="1"/>
    <col min="19" max="19" width="16" style="4" customWidth="1"/>
    <col min="20" max="20" width="17.125" style="4" hidden="1" customWidth="1"/>
    <col min="21" max="24" width="11.625" style="4" hidden="1" customWidth="1"/>
    <col min="25" max="25" width="31.875" style="4" hidden="1" customWidth="1"/>
    <col min="26" max="26" width="38.75" style="4" customWidth="1"/>
    <col min="27" max="27" width="18.875" style="4" customWidth="1"/>
    <col min="28" max="28" width="19.5" style="4" customWidth="1"/>
    <col min="29" max="16384" width="19.5" style="4"/>
  </cols>
  <sheetData>
    <row r="1" spans="1:28" ht="17.25" hidden="1" thickBot="1" x14ac:dyDescent="0.35"/>
    <row r="2" spans="1:28" ht="46.5" customHeight="1" thickBot="1" x14ac:dyDescent="0.35">
      <c r="D2" s="49" t="s">
        <v>10</v>
      </c>
      <c r="E2" s="50"/>
      <c r="F2" s="50"/>
      <c r="G2" s="50"/>
      <c r="H2" s="50"/>
      <c r="I2" s="51"/>
      <c r="J2" s="5"/>
      <c r="K2" s="52" t="s">
        <v>24</v>
      </c>
      <c r="L2" s="52"/>
      <c r="M2" s="53"/>
      <c r="N2" s="53"/>
      <c r="O2" s="53"/>
      <c r="P2" s="6"/>
      <c r="Q2" s="26" t="s">
        <v>20</v>
      </c>
      <c r="R2" s="7" t="s">
        <v>35</v>
      </c>
      <c r="S2" s="5"/>
      <c r="T2" s="8"/>
      <c r="U2" s="8"/>
      <c r="V2" s="8"/>
      <c r="W2" s="8"/>
      <c r="X2" s="8"/>
      <c r="Y2" s="8"/>
    </row>
    <row r="3" spans="1:28" ht="12" customHeight="1" x14ac:dyDescent="0.3">
      <c r="H3" s="9"/>
    </row>
    <row r="4" spans="1:28" ht="24.75" customHeight="1" x14ac:dyDescent="0.3">
      <c r="A4" s="54" t="s">
        <v>0</v>
      </c>
      <c r="B4" s="57" t="s">
        <v>27</v>
      </c>
      <c r="C4" s="57" t="s">
        <v>26</v>
      </c>
      <c r="D4" s="57" t="s">
        <v>23</v>
      </c>
      <c r="E4" s="57" t="s">
        <v>19</v>
      </c>
      <c r="F4" s="60" t="s">
        <v>1</v>
      </c>
      <c r="G4" s="60" t="s">
        <v>2</v>
      </c>
      <c r="H4" s="74" t="s">
        <v>3</v>
      </c>
      <c r="I4" s="70" t="s">
        <v>11</v>
      </c>
      <c r="J4" s="70" t="s">
        <v>4</v>
      </c>
      <c r="K4" s="70" t="s">
        <v>12</v>
      </c>
      <c r="L4" s="70" t="s">
        <v>13</v>
      </c>
      <c r="M4" s="70" t="s">
        <v>25</v>
      </c>
      <c r="N4" s="70" t="s">
        <v>14</v>
      </c>
      <c r="O4" s="70" t="s">
        <v>15</v>
      </c>
      <c r="P4" s="73" t="s">
        <v>16</v>
      </c>
      <c r="Q4" s="73" t="s">
        <v>17</v>
      </c>
      <c r="R4" s="57" t="s">
        <v>18</v>
      </c>
      <c r="S4" s="70" t="s">
        <v>5</v>
      </c>
      <c r="T4" s="33"/>
      <c r="U4" s="33"/>
      <c r="V4" s="33"/>
      <c r="W4" s="34" t="s">
        <v>21</v>
      </c>
      <c r="X4" s="34">
        <v>0.4</v>
      </c>
      <c r="Y4" s="33">
        <v>0.5</v>
      </c>
      <c r="Z4" s="81" t="s">
        <v>6</v>
      </c>
      <c r="AA4" s="77" t="s">
        <v>28</v>
      </c>
      <c r="AB4" s="77" t="s">
        <v>29</v>
      </c>
    </row>
    <row r="5" spans="1:28" ht="24.75" customHeight="1" x14ac:dyDescent="0.3">
      <c r="A5" s="55"/>
      <c r="B5" s="58"/>
      <c r="C5" s="58"/>
      <c r="D5" s="58"/>
      <c r="E5" s="58"/>
      <c r="F5" s="58"/>
      <c r="G5" s="58"/>
      <c r="H5" s="55"/>
      <c r="I5" s="71"/>
      <c r="J5" s="71"/>
      <c r="K5" s="75"/>
      <c r="L5" s="71"/>
      <c r="M5" s="71"/>
      <c r="N5" s="71"/>
      <c r="O5" s="71"/>
      <c r="P5" s="58"/>
      <c r="Q5" s="58"/>
      <c r="R5" s="58"/>
      <c r="S5" s="71"/>
      <c r="T5" s="33"/>
      <c r="U5" s="33"/>
      <c r="V5" s="33"/>
      <c r="W5" s="34" t="s">
        <v>33</v>
      </c>
      <c r="X5" s="35">
        <v>0.4</v>
      </c>
      <c r="Y5" s="33"/>
      <c r="Z5" s="82"/>
      <c r="AA5" s="77"/>
      <c r="AB5" s="77"/>
    </row>
    <row r="6" spans="1:28" ht="16.5" hidden="1" x14ac:dyDescent="0.3">
      <c r="A6" s="56"/>
      <c r="B6" s="59"/>
      <c r="C6" s="59"/>
      <c r="D6" s="59"/>
      <c r="E6" s="59"/>
      <c r="F6" s="59"/>
      <c r="G6" s="59"/>
      <c r="H6" s="56"/>
      <c r="I6" s="72"/>
      <c r="J6" s="72"/>
      <c r="K6" s="76"/>
      <c r="L6" s="72"/>
      <c r="M6" s="72"/>
      <c r="N6" s="72"/>
      <c r="O6" s="72"/>
      <c r="P6" s="59"/>
      <c r="Q6" s="59"/>
      <c r="R6" s="59"/>
      <c r="S6" s="72"/>
      <c r="T6" s="33"/>
      <c r="U6" s="33"/>
      <c r="V6" s="33"/>
      <c r="W6" s="34" t="s">
        <v>22</v>
      </c>
      <c r="X6" s="35">
        <v>0.5</v>
      </c>
      <c r="Y6" s="33"/>
      <c r="Z6" s="82"/>
      <c r="AA6" s="77"/>
      <c r="AB6" s="77"/>
    </row>
    <row r="7" spans="1:28" s="13" customFormat="1" ht="28.5" customHeight="1" x14ac:dyDescent="0.3">
      <c r="A7" s="32">
        <v>1</v>
      </c>
      <c r="B7" s="29"/>
      <c r="C7" s="29"/>
      <c r="D7" s="29"/>
      <c r="E7" s="29"/>
      <c r="F7" s="30"/>
      <c r="G7" s="31"/>
      <c r="H7" s="31"/>
      <c r="I7" s="41">
        <f t="shared" ref="I7:I30" si="0">H7*1.1</f>
      </c>
      <c r="J7" s="31"/>
      <c r="K7" s="41">
        <f>I7-J7</f>
      </c>
      <c r="L7" s="41">
        <f>K7/1.1</f>
      </c>
      <c r="M7" s="31"/>
      <c r="N7" s="41">
        <f>L7-M7</f>
      </c>
      <c r="O7" s="41">
        <f>(N7*$X$5)</f>
      </c>
      <c r="P7" s="41">
        <f t="shared" ref="P7:P33" si="1">O7*0.033</f>
      </c>
      <c r="Q7" s="41">
        <f>N7*$X$4</f>
      </c>
      <c r="R7" s="41">
        <f>Q7-P7</f>
      </c>
      <c r="S7" s="42"/>
      <c r="T7" s="36"/>
      <c r="U7" s="36"/>
      <c r="V7" s="36"/>
      <c r="W7" s="37"/>
      <c r="X7" s="35"/>
      <c r="Y7" s="36"/>
      <c r="Z7" s="13"/>
      <c r="AA7" s="28"/>
      <c r="AB7" s="13"/>
    </row>
    <row r="8" spans="1:28" s="13" customFormat="1" ht="29.25" customHeight="1" x14ac:dyDescent="0.3">
      <c r="A8" s="32">
        <v>2</v>
      </c>
      <c r="B8" s="29"/>
      <c r="C8" s="29"/>
      <c r="D8" s="29"/>
      <c r="E8" s="29"/>
      <c r="F8" s="29"/>
      <c r="G8" s="31"/>
      <c r="H8" s="31"/>
      <c r="I8" s="41">
        <f t="shared" si="0"/>
      </c>
      <c r="J8" s="31"/>
      <c r="K8" s="41">
        <f>I8-J8</f>
      </c>
      <c r="L8" s="41">
        <f>K8/1.1</f>
      </c>
      <c r="M8" s="3"/>
      <c r="N8" s="41">
        <f t="shared" ref="N8:N33" si="2">L8-M8</f>
      </c>
      <c r="O8" s="41">
        <f t="shared" ref="O8:O28" si="3">(N8*$X$4)</f>
      </c>
      <c r="P8" s="41">
        <f t="shared" si="1"/>
      </c>
      <c r="Q8" s="41">
        <f t="shared" ref="Q8:Q28" si="4">N8*$X$4</f>
      </c>
      <c r="R8" s="41">
        <f>Q8-P8</f>
      </c>
      <c r="S8" s="42"/>
      <c r="T8" s="36"/>
      <c r="U8" s="36"/>
      <c r="V8" s="36"/>
      <c r="W8" s="37"/>
      <c r="X8" s="35"/>
      <c r="Y8" s="36"/>
      <c r="Z8" s="48"/>
      <c r="AA8" s="28"/>
      <c r="AB8" s="13"/>
    </row>
    <row r="9" spans="1:28" s="13" customFormat="1" ht="29.25" customHeight="1" x14ac:dyDescent="0.3">
      <c r="A9" s="32">
        <v>3</v>
      </c>
      <c r="B9" s="29"/>
      <c r="C9" s="10"/>
      <c r="D9" s="29"/>
      <c r="E9" s="10"/>
      <c r="F9" s="2"/>
      <c r="G9" s="3"/>
      <c r="H9" s="31"/>
      <c r="I9" s="41">
        <f t="shared" si="0"/>
      </c>
      <c r="J9" s="3"/>
      <c r="K9" s="41">
        <f t="shared" ref="K9:K33" si="5">I9-J9</f>
      </c>
      <c r="L9" s="41">
        <f t="shared" ref="L9:L33" si="6">K9/1.1</f>
      </c>
      <c r="M9" s="3"/>
      <c r="N9" s="41">
        <f t="shared" si="2"/>
      </c>
      <c r="O9" s="41">
        <f t="shared" si="3"/>
      </c>
      <c r="P9" s="41">
        <f>O9*0.033</f>
      </c>
      <c r="Q9" s="41">
        <f t="shared" si="4"/>
      </c>
      <c r="R9" s="41">
        <f t="shared" ref="R9:R33" si="7">Q9-P9</f>
      </c>
      <c r="S9" s="42"/>
      <c r="T9" s="36"/>
      <c r="U9" s="36"/>
      <c r="V9" s="36"/>
      <c r="W9" s="37"/>
      <c r="X9" s="35"/>
      <c r="Y9" s="36"/>
      <c r="Z9" s="48"/>
      <c r="AA9" s="28"/>
      <c r="AB9" s="13"/>
    </row>
    <row r="10" spans="1:28" s="13" customFormat="1" ht="29.25" customHeight="1" x14ac:dyDescent="0.3">
      <c r="A10" s="32">
        <v>4</v>
      </c>
      <c r="B10" s="29"/>
      <c r="C10" s="10"/>
      <c r="D10" s="10"/>
      <c r="E10" s="10"/>
      <c r="F10" s="10"/>
      <c r="G10" s="3"/>
      <c r="H10" s="31"/>
      <c r="I10" s="41">
        <f t="shared" si="0"/>
      </c>
      <c r="J10" s="3"/>
      <c r="K10" s="41">
        <f t="shared" si="5"/>
      </c>
      <c r="L10" s="41">
        <f t="shared" si="6"/>
      </c>
      <c r="M10" s="3"/>
      <c r="N10" s="41">
        <f t="shared" si="2"/>
      </c>
      <c r="O10" s="41">
        <f t="shared" si="3"/>
      </c>
      <c r="P10" s="41">
        <f t="shared" si="1"/>
      </c>
      <c r="Q10" s="41">
        <f t="shared" si="4"/>
      </c>
      <c r="R10" s="41">
        <f t="shared" si="7"/>
      </c>
      <c r="S10" s="42"/>
      <c r="T10" s="36"/>
      <c r="U10" s="36"/>
      <c r="V10" s="36"/>
      <c r="W10" s="37"/>
      <c r="X10" s="35"/>
      <c r="Y10" s="36"/>
      <c r="Z10" s="48"/>
      <c r="AA10" s="28"/>
      <c r="AB10" s="13"/>
    </row>
    <row r="11" spans="1:28" s="13" customFormat="1" ht="29.25" customHeight="1" x14ac:dyDescent="0.3">
      <c r="A11" s="24">
        <v>5</v>
      </c>
      <c r="B11" s="29"/>
      <c r="C11" s="10"/>
      <c r="D11" s="10"/>
      <c r="E11" s="10"/>
      <c r="F11" s="10"/>
      <c r="G11" s="3"/>
      <c r="H11" s="31"/>
      <c r="I11" s="41">
        <f t="shared" si="0"/>
      </c>
      <c r="J11" s="3"/>
      <c r="K11" s="41">
        <f t="shared" si="5"/>
      </c>
      <c r="L11" s="41">
        <f t="shared" si="6"/>
      </c>
      <c r="M11" s="3"/>
      <c r="N11" s="41">
        <f t="shared" si="2"/>
      </c>
      <c r="O11" s="41">
        <f t="shared" si="3"/>
      </c>
      <c r="P11" s="41">
        <f t="shared" si="1"/>
      </c>
      <c r="Q11" s="41">
        <f t="shared" si="4"/>
      </c>
      <c r="R11" s="41">
        <f t="shared" si="7"/>
      </c>
      <c r="S11" s="42"/>
      <c r="T11" s="36"/>
      <c r="U11" s="36"/>
      <c r="V11" s="36"/>
      <c r="W11" s="37"/>
      <c r="X11" s="38"/>
      <c r="Y11" s="36"/>
      <c r="Z11" s="13"/>
      <c r="AA11" s="28"/>
      <c r="AB11" s="13"/>
    </row>
    <row r="12" spans="1:28" s="13" customFormat="1" ht="28.5" customHeight="1" x14ac:dyDescent="0.3">
      <c r="A12" s="24">
        <v>6</v>
      </c>
      <c r="B12" s="29"/>
      <c r="C12" s="10"/>
      <c r="D12" s="10"/>
      <c r="E12" s="10"/>
      <c r="F12" s="10"/>
      <c r="G12" s="3"/>
      <c r="H12" s="31"/>
      <c r="I12" s="41">
        <f t="shared" si="0"/>
      </c>
      <c r="J12" s="3"/>
      <c r="K12" s="41">
        <f t="shared" si="5"/>
      </c>
      <c r="L12" s="41">
        <f t="shared" si="6"/>
      </c>
      <c r="M12" s="3"/>
      <c r="N12" s="41">
        <f t="shared" si="2"/>
      </c>
      <c r="O12" s="41">
        <f t="shared" si="3"/>
      </c>
      <c r="P12" s="41">
        <f t="shared" si="1"/>
      </c>
      <c r="Q12" s="41">
        <f t="shared" si="4"/>
      </c>
      <c r="R12" s="41">
        <f t="shared" si="7"/>
      </c>
      <c r="S12" s="42"/>
      <c r="T12" s="36"/>
      <c r="U12" s="36"/>
      <c r="V12" s="36"/>
      <c r="W12" s="36"/>
      <c r="X12" s="36"/>
      <c r="Y12" s="36"/>
      <c r="Z12" s="13"/>
      <c r="AA12" s="28"/>
      <c r="AB12" s="13"/>
    </row>
    <row r="13" spans="1:28" s="13" customFormat="1" ht="29.25" customHeight="1" x14ac:dyDescent="0.3">
      <c r="A13" s="24">
        <v>7</v>
      </c>
      <c r="B13" s="29"/>
      <c r="C13" s="29"/>
      <c r="D13" s="29"/>
      <c r="E13" s="29"/>
      <c r="F13" s="29"/>
      <c r="G13" s="31"/>
      <c r="H13" s="31"/>
      <c r="I13" s="41">
        <f t="shared" si="0"/>
      </c>
      <c r="J13" s="3"/>
      <c r="K13" s="41">
        <f t="shared" si="5"/>
      </c>
      <c r="L13" s="41">
        <f t="shared" si="6"/>
      </c>
      <c r="M13" s="3"/>
      <c r="N13" s="41">
        <f t="shared" si="2"/>
      </c>
      <c r="O13" s="41">
        <f t="shared" si="3"/>
      </c>
      <c r="P13" s="41">
        <f t="shared" si="1"/>
      </c>
      <c r="Q13" s="41">
        <f t="shared" si="4"/>
      </c>
      <c r="R13" s="41">
        <f t="shared" si="7"/>
      </c>
      <c r="S13" s="42"/>
      <c r="T13" s="36"/>
      <c r="U13" s="36"/>
      <c r="V13" s="36"/>
      <c r="W13" s="36"/>
      <c r="X13" s="36"/>
      <c r="Y13" s="36"/>
      <c r="Z13" s="48"/>
      <c r="AA13" s="28"/>
      <c r="AB13" s="13"/>
    </row>
    <row r="14" spans="1:28" s="13" customFormat="1" ht="29.25" customHeight="1" x14ac:dyDescent="0.3">
      <c r="A14" s="24">
        <v>8</v>
      </c>
      <c r="B14" s="29"/>
      <c r="C14" s="10"/>
      <c r="D14" s="29"/>
      <c r="E14" s="10"/>
      <c r="F14" s="10"/>
      <c r="G14" s="3"/>
      <c r="H14" s="31"/>
      <c r="I14" s="41">
        <f t="shared" si="0"/>
      </c>
      <c r="J14" s="3"/>
      <c r="K14" s="41">
        <f t="shared" si="5"/>
      </c>
      <c r="L14" s="41">
        <f t="shared" si="6"/>
      </c>
      <c r="M14" s="3"/>
      <c r="N14" s="41">
        <f t="shared" si="2"/>
      </c>
      <c r="O14" s="41">
        <f t="shared" si="3"/>
      </c>
      <c r="P14" s="41">
        <f t="shared" si="1"/>
      </c>
      <c r="Q14" s="41">
        <f t="shared" si="4"/>
      </c>
      <c r="R14" s="41">
        <f>Q14-P14</f>
      </c>
      <c r="S14" s="42"/>
      <c r="T14" s="36"/>
      <c r="U14" s="36"/>
      <c r="V14" s="36"/>
      <c r="W14" s="36"/>
      <c r="X14" s="36"/>
      <c r="Y14" s="36"/>
      <c r="Z14" s="48"/>
      <c r="AA14" s="28"/>
    </row>
    <row r="15" spans="1:28" s="13" customFormat="1" ht="29.25" customHeight="1" x14ac:dyDescent="0.3">
      <c r="A15" s="24">
        <v>9</v>
      </c>
      <c r="B15" s="29"/>
      <c r="C15" s="29"/>
      <c r="D15" s="29"/>
      <c r="E15" s="29"/>
      <c r="F15" s="30"/>
      <c r="G15" s="31"/>
      <c r="H15" s="31"/>
      <c r="I15" s="41">
        <f t="shared" si="0"/>
      </c>
      <c r="J15" s="3"/>
      <c r="K15" s="41">
        <f t="shared" si="5"/>
      </c>
      <c r="L15" s="41">
        <f t="shared" si="6"/>
      </c>
      <c r="M15" s="3"/>
      <c r="N15" s="41">
        <f t="shared" si="2"/>
      </c>
      <c r="O15" s="41">
        <f t="shared" si="3"/>
      </c>
      <c r="P15" s="41">
        <f t="shared" si="1"/>
      </c>
      <c r="Q15" s="41">
        <f t="shared" si="4"/>
      </c>
      <c r="R15" s="41">
        <f t="shared" si="7"/>
      </c>
      <c r="S15" s="42"/>
      <c r="T15" s="36"/>
      <c r="U15" s="36"/>
      <c r="V15" s="36"/>
      <c r="W15" s="36"/>
      <c r="X15" s="36"/>
      <c r="Y15" s="36"/>
      <c r="Z15" s="13"/>
      <c r="AA15" s="28"/>
      <c r="AB15" s="13"/>
    </row>
    <row r="16" spans="1:28" s="13" customFormat="1" ht="29.25" customHeight="1" x14ac:dyDescent="0.3">
      <c r="A16" s="24">
        <v>10</v>
      </c>
      <c r="B16" s="29"/>
      <c r="C16" s="10"/>
      <c r="D16" s="10"/>
      <c r="E16" s="10"/>
      <c r="F16" s="10"/>
      <c r="G16" s="3"/>
      <c r="H16" s="31"/>
      <c r="I16" s="41">
        <f t="shared" si="0"/>
      </c>
      <c r="J16" s="3"/>
      <c r="K16" s="41">
        <f t="shared" si="5"/>
      </c>
      <c r="L16" s="41">
        <f t="shared" si="6"/>
      </c>
      <c r="M16" s="3"/>
      <c r="N16" s="41">
        <f t="shared" si="2"/>
      </c>
      <c r="O16" s="41">
        <f t="shared" si="3"/>
      </c>
      <c r="P16" s="41">
        <f t="shared" si="1"/>
      </c>
      <c r="Q16" s="41">
        <f t="shared" si="4"/>
      </c>
      <c r="R16" s="41">
        <f t="shared" si="7"/>
      </c>
      <c r="S16" s="42"/>
      <c r="T16" s="36"/>
      <c r="U16" s="36"/>
      <c r="V16" s="36"/>
      <c r="W16" s="36"/>
      <c r="X16" s="36"/>
      <c r="Y16" s="36"/>
      <c r="AA16" s="28"/>
    </row>
    <row r="17" spans="1:27" s="13" customFormat="1" ht="29.25" customHeight="1" x14ac:dyDescent="0.3">
      <c r="A17" s="24">
        <v>11</v>
      </c>
      <c r="B17" s="29"/>
      <c r="C17" s="29"/>
      <c r="D17" s="29"/>
      <c r="E17" s="10"/>
      <c r="F17" s="10"/>
      <c r="G17" s="3"/>
      <c r="H17" s="31"/>
      <c r="I17" s="41">
        <f t="shared" si="0"/>
      </c>
      <c r="J17" s="3"/>
      <c r="K17" s="41">
        <f t="shared" si="5"/>
      </c>
      <c r="L17" s="41">
        <f t="shared" si="6"/>
      </c>
      <c r="M17" s="3"/>
      <c r="N17" s="41">
        <f t="shared" si="2"/>
      </c>
      <c r="O17" s="41">
        <f t="shared" si="3"/>
      </c>
      <c r="P17" s="41">
        <f t="shared" si="1"/>
      </c>
      <c r="Q17" s="41">
        <f t="shared" si="4"/>
      </c>
      <c r="R17" s="41">
        <f t="shared" si="7"/>
      </c>
      <c r="S17" s="42"/>
      <c r="T17" s="36"/>
      <c r="U17" s="36"/>
      <c r="V17" s="36"/>
      <c r="W17" s="36"/>
      <c r="X17" s="36"/>
      <c r="Y17" s="36"/>
      <c r="Z17" s="48"/>
      <c r="AA17" s="28"/>
    </row>
    <row r="18" spans="1:27" s="13" customFormat="1" ht="29.25" customHeight="1" x14ac:dyDescent="0.3">
      <c r="A18" s="24">
        <v>12</v>
      </c>
      <c r="B18" s="29"/>
      <c r="C18" s="29"/>
      <c r="D18" s="29"/>
      <c r="E18" s="29"/>
      <c r="F18" s="30"/>
      <c r="G18" s="31"/>
      <c r="H18" s="31"/>
      <c r="I18" s="41">
        <f t="shared" si="0"/>
      </c>
      <c r="J18" s="3"/>
      <c r="K18" s="41">
        <f t="shared" si="5"/>
      </c>
      <c r="L18" s="41">
        <f t="shared" si="6"/>
      </c>
      <c r="M18" s="3"/>
      <c r="N18" s="41">
        <f t="shared" si="2"/>
      </c>
      <c r="O18" s="41">
        <f t="shared" si="3"/>
      </c>
      <c r="P18" s="41">
        <f t="shared" si="1"/>
      </c>
      <c r="Q18" s="41">
        <f t="shared" si="4"/>
      </c>
      <c r="R18" s="41">
        <f t="shared" si="7"/>
      </c>
      <c r="S18" s="42"/>
      <c r="T18" s="36"/>
      <c r="U18" s="36"/>
      <c r="V18" s="36"/>
      <c r="W18" s="36"/>
      <c r="X18" s="36"/>
      <c r="Y18" s="36"/>
      <c r="Z18" s="48"/>
      <c r="AA18" s="28"/>
    </row>
    <row r="19" spans="1:27" s="13" customFormat="1" ht="29.25" customHeight="1" x14ac:dyDescent="0.3">
      <c r="A19" s="24">
        <v>13</v>
      </c>
      <c r="B19" s="29"/>
      <c r="C19" s="29"/>
      <c r="D19" s="29"/>
      <c r="E19" s="29"/>
      <c r="F19" s="29"/>
      <c r="G19" s="31"/>
      <c r="H19" s="31"/>
      <c r="I19" s="41">
        <f t="shared" si="0"/>
      </c>
      <c r="J19" s="31"/>
      <c r="K19" s="41">
        <f t="shared" si="5"/>
      </c>
      <c r="L19" s="41">
        <f t="shared" si="6"/>
      </c>
      <c r="M19" s="1"/>
      <c r="N19" s="41">
        <f t="shared" si="2"/>
      </c>
      <c r="O19" s="41">
        <f t="shared" si="3"/>
      </c>
      <c r="P19" s="41">
        <f t="shared" si="1"/>
      </c>
      <c r="Q19" s="41">
        <f t="shared" si="4"/>
      </c>
      <c r="R19" s="41">
        <f t="shared" si="7"/>
      </c>
      <c r="S19" s="42"/>
      <c r="T19" s="36"/>
      <c r="U19" s="36"/>
      <c r="V19" s="36"/>
      <c r="W19" s="36"/>
      <c r="X19" s="36"/>
      <c r="Y19" s="36"/>
      <c r="AA19" s="28"/>
    </row>
    <row r="20" spans="1:27" s="13" customFormat="1" ht="29.25" customHeight="1" x14ac:dyDescent="0.3">
      <c r="A20" s="24">
        <v>14</v>
      </c>
      <c r="B20" s="29"/>
      <c r="C20" s="10"/>
      <c r="D20" s="29"/>
      <c r="E20" s="10"/>
      <c r="F20" s="10"/>
      <c r="G20" s="3"/>
      <c r="H20" s="31"/>
      <c r="I20" s="41">
        <f t="shared" si="0"/>
      </c>
      <c r="J20" s="3"/>
      <c r="K20" s="41">
        <f t="shared" si="5"/>
      </c>
      <c r="L20" s="41">
        <f t="shared" si="6"/>
      </c>
      <c r="M20" s="3"/>
      <c r="N20" s="41">
        <f t="shared" si="2"/>
      </c>
      <c r="O20" s="41">
        <f t="shared" si="3"/>
      </c>
      <c r="P20" s="41">
        <f t="shared" si="1"/>
      </c>
      <c r="Q20" s="41">
        <f t="shared" si="4"/>
      </c>
      <c r="R20" s="41">
        <f t="shared" si="7"/>
      </c>
      <c r="S20" s="42"/>
      <c r="T20" s="36"/>
      <c r="U20" s="36"/>
      <c r="V20" s="36"/>
      <c r="W20" s="36"/>
      <c r="X20" s="36"/>
      <c r="Y20" s="36"/>
      <c r="Z20" s="48"/>
      <c r="AA20" s="28"/>
    </row>
    <row r="21" spans="1:27" s="13" customFormat="1" ht="29.25" customHeight="1" x14ac:dyDescent="0.3">
      <c r="A21" s="24">
        <v>15</v>
      </c>
      <c r="B21" s="29"/>
      <c r="C21" s="10"/>
      <c r="D21" s="10"/>
      <c r="E21" s="10"/>
      <c r="F21" s="10"/>
      <c r="G21" s="3"/>
      <c r="H21" s="31"/>
      <c r="I21" s="41">
        <f t="shared" si="0"/>
      </c>
      <c r="J21" s="3"/>
      <c r="K21" s="41">
        <f t="shared" si="5"/>
      </c>
      <c r="L21" s="41">
        <f t="shared" si="6"/>
      </c>
      <c r="M21" s="3"/>
      <c r="N21" s="41">
        <f t="shared" si="2"/>
      </c>
      <c r="O21" s="41">
        <f t="shared" si="3"/>
      </c>
      <c r="P21" s="41">
        <f t="shared" si="1"/>
      </c>
      <c r="Q21" s="41">
        <f t="shared" si="4"/>
      </c>
      <c r="R21" s="41">
        <f t="shared" si="7"/>
      </c>
      <c r="S21" s="42"/>
      <c r="T21" s="36"/>
      <c r="U21" s="36"/>
      <c r="V21" s="36"/>
      <c r="W21" s="36"/>
      <c r="X21" s="36"/>
      <c r="Y21" s="36"/>
      <c r="AA21" s="28"/>
    </row>
    <row r="22" spans="1:27" s="13" customFormat="1" ht="29.25" customHeight="1" x14ac:dyDescent="0.3">
      <c r="A22" s="24">
        <v>16</v>
      </c>
      <c r="B22" s="29"/>
      <c r="C22" s="29"/>
      <c r="D22" s="29"/>
      <c r="E22" s="29"/>
      <c r="F22" s="30"/>
      <c r="G22" s="31"/>
      <c r="H22" s="31"/>
      <c r="I22" s="41">
        <f t="shared" si="0"/>
      </c>
      <c r="J22" s="3"/>
      <c r="K22" s="41">
        <f t="shared" si="5"/>
      </c>
      <c r="L22" s="41">
        <f t="shared" si="6"/>
      </c>
      <c r="M22" s="3"/>
      <c r="N22" s="41">
        <f t="shared" si="2"/>
      </c>
      <c r="O22" s="41">
        <f t="shared" si="3"/>
      </c>
      <c r="P22" s="41">
        <f t="shared" si="1"/>
      </c>
      <c r="Q22" s="41">
        <f t="shared" si="4"/>
      </c>
      <c r="R22" s="41">
        <f t="shared" si="7"/>
      </c>
      <c r="S22" s="42"/>
      <c r="T22" s="36"/>
      <c r="U22" s="36"/>
      <c r="V22" s="36"/>
      <c r="W22" s="36"/>
      <c r="X22" s="36"/>
      <c r="Y22" s="36"/>
      <c r="AA22" s="28"/>
    </row>
    <row r="23" spans="1:27" s="13" customFormat="1" ht="29.25" customHeight="1" x14ac:dyDescent="0.3">
      <c r="A23" s="24">
        <v>17</v>
      </c>
      <c r="B23" s="29"/>
      <c r="C23" s="10"/>
      <c r="D23" s="10"/>
      <c r="E23" s="10"/>
      <c r="F23" s="10"/>
      <c r="G23" s="3"/>
      <c r="H23" s="31"/>
      <c r="I23" s="41">
        <f t="shared" si="0"/>
      </c>
      <c r="J23" s="3"/>
      <c r="K23" s="41">
        <f t="shared" si="5"/>
      </c>
      <c r="L23" s="41">
        <f t="shared" si="6"/>
      </c>
      <c r="M23" s="3"/>
      <c r="N23" s="41">
        <f t="shared" si="2"/>
      </c>
      <c r="O23" s="41">
        <f t="shared" si="3"/>
      </c>
      <c r="P23" s="41">
        <f t="shared" si="1"/>
      </c>
      <c r="Q23" s="41">
        <f t="shared" si="4"/>
      </c>
      <c r="R23" s="41">
        <f t="shared" si="7"/>
      </c>
      <c r="S23" s="42"/>
      <c r="T23" s="36"/>
      <c r="U23" s="36"/>
      <c r="V23" s="36"/>
      <c r="W23" s="36"/>
      <c r="X23" s="36"/>
      <c r="Y23" s="36"/>
      <c r="AA23" s="28"/>
    </row>
    <row r="24" spans="1:27" s="13" customFormat="1" ht="29.25" customHeight="1" x14ac:dyDescent="0.3">
      <c r="A24" s="24">
        <v>18</v>
      </c>
      <c r="B24" s="29"/>
      <c r="C24" s="10"/>
      <c r="D24" s="10"/>
      <c r="E24" s="10"/>
      <c r="F24" s="10"/>
      <c r="G24" s="3"/>
      <c r="H24" s="31"/>
      <c r="I24" s="41">
        <f t="shared" si="0"/>
      </c>
      <c r="J24" s="3"/>
      <c r="K24" s="41">
        <f t="shared" si="5"/>
      </c>
      <c r="L24" s="41">
        <f t="shared" si="6"/>
      </c>
      <c r="M24" s="3"/>
      <c r="N24" s="41">
        <f t="shared" si="2"/>
      </c>
      <c r="O24" s="41">
        <f t="shared" si="3"/>
      </c>
      <c r="P24" s="41">
        <f t="shared" si="1"/>
      </c>
      <c r="Q24" s="41">
        <f t="shared" si="4"/>
      </c>
      <c r="R24" s="41">
        <f t="shared" si="7"/>
      </c>
      <c r="S24" s="42"/>
      <c r="T24" s="36"/>
      <c r="U24" s="36"/>
      <c r="V24" s="36"/>
      <c r="W24" s="36"/>
      <c r="X24" s="36"/>
      <c r="Y24" s="36"/>
      <c r="Z24" s="48"/>
      <c r="AA24" s="28"/>
    </row>
    <row r="25" spans="1:27" s="13" customFormat="1" ht="29.25" customHeight="1" x14ac:dyDescent="0.3">
      <c r="A25" s="24">
        <v>19</v>
      </c>
      <c r="B25" s="29"/>
      <c r="C25" s="29"/>
      <c r="D25" s="29"/>
      <c r="E25" s="29"/>
      <c r="F25" s="29"/>
      <c r="G25" s="31"/>
      <c r="H25" s="31"/>
      <c r="I25" s="41">
        <f t="shared" si="0"/>
      </c>
      <c r="J25" s="3"/>
      <c r="K25" s="41">
        <f t="shared" si="5"/>
      </c>
      <c r="L25" s="41">
        <f t="shared" si="6"/>
      </c>
      <c r="M25" s="3"/>
      <c r="N25" s="41">
        <f t="shared" si="2"/>
      </c>
      <c r="O25" s="41">
        <f t="shared" si="3"/>
      </c>
      <c r="P25" s="41">
        <f t="shared" si="1"/>
      </c>
      <c r="Q25" s="41">
        <f t="shared" si="4"/>
      </c>
      <c r="R25" s="41">
        <f t="shared" si="7"/>
      </c>
      <c r="S25" s="42"/>
      <c r="T25" s="36"/>
      <c r="U25" s="36"/>
      <c r="V25" s="36"/>
      <c r="W25" s="36"/>
      <c r="X25" s="36"/>
      <c r="Y25" s="36"/>
      <c r="Z25" s="48"/>
      <c r="AA25" s="28"/>
    </row>
    <row r="26" spans="1:27" s="13" customFormat="1" ht="29.25" customHeight="1" x14ac:dyDescent="0.3">
      <c r="A26" s="24">
        <v>20</v>
      </c>
      <c r="B26" s="29"/>
      <c r="C26" s="10"/>
      <c r="D26" s="10"/>
      <c r="E26" s="10"/>
      <c r="F26" s="10"/>
      <c r="G26" s="3"/>
      <c r="H26" s="31"/>
      <c r="I26" s="41">
        <f t="shared" si="0"/>
      </c>
      <c r="J26" s="3"/>
      <c r="K26" s="41">
        <f t="shared" si="5"/>
      </c>
      <c r="L26" s="41">
        <f t="shared" si="6"/>
      </c>
      <c r="M26" s="3"/>
      <c r="N26" s="41">
        <f t="shared" si="2"/>
      </c>
      <c r="O26" s="41">
        <f t="shared" si="3"/>
      </c>
      <c r="P26" s="41">
        <f t="shared" si="1"/>
      </c>
      <c r="Q26" s="41">
        <f t="shared" si="4"/>
      </c>
      <c r="R26" s="41">
        <f t="shared" si="7"/>
      </c>
      <c r="S26" s="42"/>
      <c r="T26" s="36"/>
      <c r="U26" s="36"/>
      <c r="V26" s="36"/>
      <c r="W26" s="36"/>
      <c r="X26" s="36"/>
      <c r="Y26" s="36"/>
      <c r="AA26" s="28"/>
    </row>
    <row r="27" spans="1:27" s="13" customFormat="1" ht="29.25" customHeight="1" x14ac:dyDescent="0.3">
      <c r="A27" s="24">
        <v>21</v>
      </c>
      <c r="B27" s="10"/>
      <c r="C27" s="10"/>
      <c r="D27" s="10"/>
      <c r="E27" s="10"/>
      <c r="F27" s="2"/>
      <c r="G27" s="31"/>
      <c r="H27" s="31"/>
      <c r="I27" s="41">
        <f t="shared" si="0"/>
      </c>
      <c r="J27" s="3"/>
      <c r="K27" s="41">
        <f t="shared" si="5"/>
      </c>
      <c r="L27" s="41">
        <f t="shared" si="6"/>
      </c>
      <c r="M27" s="3"/>
      <c r="N27" s="41">
        <f t="shared" si="2"/>
      </c>
      <c r="O27" s="41">
        <f t="shared" si="3"/>
      </c>
      <c r="P27" s="41">
        <f t="shared" si="1"/>
      </c>
      <c r="Q27" s="41">
        <f t="shared" si="4"/>
      </c>
      <c r="R27" s="41">
        <f t="shared" si="7"/>
      </c>
      <c r="S27" s="43"/>
      <c r="T27" s="36"/>
      <c r="U27" s="36"/>
      <c r="V27" s="36"/>
      <c r="W27" s="36"/>
      <c r="X27" s="36"/>
      <c r="Y27" s="36"/>
      <c r="AA27" s="28"/>
    </row>
    <row r="28" spans="1:27" s="13" customFormat="1" ht="29.25" customHeight="1" x14ac:dyDescent="0.3">
      <c r="A28" s="24">
        <v>22</v>
      </c>
      <c r="B28" s="10"/>
      <c r="C28" s="10"/>
      <c r="D28" s="10"/>
      <c r="E28" s="10"/>
      <c r="F28" s="10"/>
      <c r="G28" s="31"/>
      <c r="H28" s="31"/>
      <c r="I28" s="41">
        <f t="shared" si="0"/>
      </c>
      <c r="J28" s="3"/>
      <c r="K28" s="41">
        <f t="shared" si="5"/>
      </c>
      <c r="L28" s="41">
        <f t="shared" si="6"/>
      </c>
      <c r="M28" s="3"/>
      <c r="N28" s="41">
        <f t="shared" si="2"/>
      </c>
      <c r="O28" s="41">
        <f t="shared" si="3"/>
      </c>
      <c r="P28" s="41">
        <f t="shared" si="1"/>
      </c>
      <c r="Q28" s="41">
        <f t="shared" si="4"/>
      </c>
      <c r="R28" s="41">
        <f t="shared" si="7"/>
      </c>
      <c r="S28" s="43"/>
      <c r="T28" s="39"/>
      <c r="U28" s="36"/>
      <c r="V28" s="36"/>
      <c r="W28" s="36"/>
      <c r="X28" s="36"/>
      <c r="Y28" s="36"/>
      <c r="AA28" s="28"/>
    </row>
    <row r="29" spans="1:27" s="13" customFormat="1" ht="29.25" customHeight="1" x14ac:dyDescent="0.3">
      <c r="A29" s="24">
        <v>23</v>
      </c>
      <c r="B29" s="10"/>
      <c r="C29" s="10"/>
      <c r="D29" s="10"/>
      <c r="E29" s="10"/>
      <c r="F29" s="10"/>
      <c r="G29" s="31"/>
      <c r="H29" s="31"/>
      <c r="I29" s="41">
        <f t="shared" si="0"/>
      </c>
      <c r="J29" s="3"/>
      <c r="K29" s="41">
        <f t="shared" si="5"/>
      </c>
      <c r="L29" s="41">
        <f t="shared" si="6"/>
      </c>
      <c r="M29" s="3"/>
      <c r="N29" s="41">
        <f t="shared" si="2"/>
      </c>
      <c r="O29" s="41">
        <f t="shared" ref="O29:O30" si="8">(N29*$Y$4)</f>
      </c>
      <c r="P29" s="41">
        <f t="shared" si="1"/>
      </c>
      <c r="Q29" s="41">
        <f>N29*$Y$4</f>
      </c>
      <c r="R29" s="41">
        <f t="shared" si="7"/>
      </c>
      <c r="S29" s="43"/>
      <c r="T29" s="39"/>
      <c r="U29" s="36"/>
      <c r="V29" s="36"/>
      <c r="W29" s="36"/>
      <c r="X29" s="36"/>
      <c r="Y29" s="36"/>
      <c r="Z29" s="28"/>
      <c r="AA29" s="28"/>
    </row>
    <row r="30" spans="1:27" s="13" customFormat="1" ht="29.25" customHeight="1" x14ac:dyDescent="0.3">
      <c r="A30" s="24">
        <v>24</v>
      </c>
      <c r="B30" s="10"/>
      <c r="C30" s="10"/>
      <c r="D30" s="10"/>
      <c r="E30" s="12"/>
      <c r="F30" s="12"/>
      <c r="G30" s="31"/>
      <c r="H30" s="31"/>
      <c r="I30" s="41">
        <f t="shared" si="0"/>
      </c>
      <c r="J30" s="3"/>
      <c r="K30" s="41">
        <f t="shared" si="5"/>
      </c>
      <c r="L30" s="41">
        <f t="shared" si="6"/>
      </c>
      <c r="M30" s="3"/>
      <c r="N30" s="41">
        <f t="shared" si="2"/>
      </c>
      <c r="O30" s="41">
        <f t="shared" si="8"/>
      </c>
      <c r="P30" s="41">
        <f t="shared" si="1"/>
      </c>
      <c r="Q30" s="41">
        <f>N30*$Y$4</f>
      </c>
      <c r="R30" s="41">
        <f t="shared" si="7"/>
      </c>
      <c r="S30" s="43"/>
      <c r="T30" s="36"/>
      <c r="U30" s="36"/>
      <c r="V30" s="36"/>
      <c r="W30" s="36"/>
      <c r="X30" s="36"/>
      <c r="Y30" s="36"/>
      <c r="Z30" s="28"/>
      <c r="AA30" s="28"/>
    </row>
    <row r="31" spans="1:27" s="13" customFormat="1" ht="29.25" customHeight="1" x14ac:dyDescent="0.3">
      <c r="A31" s="24">
        <v>25</v>
      </c>
      <c r="B31" s="78" t="s">
        <v>30</v>
      </c>
      <c r="C31" s="78"/>
      <c r="D31" s="78"/>
      <c r="E31" s="78"/>
      <c r="F31" s="79" t="inlineStr">
        <is>
          <t>미달성</t>
        </is>
      </c>
      <c r="G31" s="79"/>
      <c r="H31" s="47">
        <f>IF(F31="대리_7대이상",1000000,IF(F31="대리_9대이상",1600000,IF(F31="대리_12대이상",2400000,IF(F31="대리_15대이상",3400000,IF(F31="대리_18대이상",4000000,IF(F31="대리_21대이상",5000000,IF(F31="미달성",0)))))))</f>
      </c>
      <c r="I31" s="41">
        <f t="shared" ref="I31:I33" si="9">H31*1.1</f>
      </c>
      <c r="J31" s="3"/>
      <c r="K31" s="41">
        <f t="shared" si="5"/>
      </c>
      <c r="L31" s="41">
        <f t="shared" si="6"/>
      </c>
      <c r="M31" s="3"/>
      <c r="N31" s="41">
        <f t="shared" si="2"/>
      </c>
      <c r="O31" s="41">
        <f t="shared" ref="O31:O33" si="10">(N31*$Y$4)+M31</f>
      </c>
      <c r="P31" s="41">
        <f t="shared" si="1"/>
      </c>
      <c r="Q31" s="41">
        <f>N31*0.5</f>
      </c>
      <c r="R31" s="41">
        <f t="shared" si="7"/>
      </c>
      <c r="S31" s="43"/>
      <c r="T31" s="36"/>
      <c r="U31" s="36"/>
      <c r="V31" s="36"/>
      <c r="W31" s="36"/>
      <c r="X31" s="36"/>
      <c r="Y31" s="36"/>
      <c r="AA31" s="28"/>
    </row>
    <row r="32" spans="1:27" s="13" customFormat="1" ht="29.25" customHeight="1" x14ac:dyDescent="0.3">
      <c r="A32" s="24">
        <v>26</v>
      </c>
      <c r="B32" s="78" t="s">
        <v>31</v>
      </c>
      <c r="C32" s="78"/>
      <c r="D32" s="78"/>
      <c r="E32" s="78"/>
      <c r="F32" s="80" t="inlineStr">
        <is>
          <t>미결제</t>
        </is>
      </c>
      <c r="G32" s="80"/>
      <c r="H32" s="3"/>
      <c r="I32" s="44">
        <f t="shared" si="9"/>
      </c>
      <c r="J32" s="3"/>
      <c r="K32" s="44">
        <f t="shared" si="5"/>
      </c>
      <c r="L32" s="44">
        <f t="shared" si="6"/>
      </c>
      <c r="M32" s="3"/>
      <c r="N32" s="41">
        <f t="shared" si="2"/>
      </c>
      <c r="O32" s="41">
        <f t="shared" si="10"/>
      </c>
      <c r="P32" s="44">
        <f t="shared" si="1"/>
      </c>
      <c r="Q32" s="41">
        <f t="shared" ref="Q32:Q33" si="11">N32*0.5</f>
      </c>
      <c r="R32" s="44">
        <f t="shared" si="7"/>
      </c>
      <c r="S32" s="43">
        <f>IF(F32="1개월",-66000,IF(F32="3개월",-198000,IF(F32="6개월",-396000,IF(F32="1년",-792000,IF(F32="미결제",0)))))</f>
      </c>
      <c r="T32" s="36"/>
      <c r="U32" s="36"/>
      <c r="V32" s="36"/>
      <c r="W32" s="36"/>
      <c r="X32" s="36"/>
      <c r="Y32" s="36"/>
      <c r="AA32" s="28"/>
    </row>
    <row r="33" spans="1:27" s="13" customFormat="1" ht="29.25" customHeight="1" thickBot="1" x14ac:dyDescent="0.35">
      <c r="A33" s="24">
        <v>27</v>
      </c>
      <c r="B33" s="28"/>
      <c r="E33" s="14"/>
      <c r="F33" s="14"/>
      <c r="G33" s="1"/>
      <c r="H33" s="1"/>
      <c r="I33" s="44">
        <f t="shared" si="9"/>
      </c>
      <c r="J33" s="1"/>
      <c r="K33" s="44">
        <f t="shared" si="5"/>
      </c>
      <c r="L33" s="44">
        <f t="shared" si="6"/>
      </c>
      <c r="M33" s="1"/>
      <c r="N33" s="41">
        <f t="shared" si="2"/>
      </c>
      <c r="O33" s="41">
        <f t="shared" si="10"/>
      </c>
      <c r="P33" s="45">
        <f t="shared" si="1"/>
      </c>
      <c r="Q33" s="41">
        <f t="shared" si="11"/>
      </c>
      <c r="R33" s="45">
        <f t="shared" si="7"/>
      </c>
      <c r="S33" s="46"/>
      <c r="T33" s="36"/>
      <c r="U33" s="36"/>
      <c r="V33" s="36"/>
      <c r="W33" s="36"/>
      <c r="X33" s="36"/>
      <c r="Y33" s="36"/>
      <c r="AA33" s="28"/>
    </row>
    <row r="34" spans="1:27" s="11" customFormat="1" ht="29.25" customHeight="1" thickBot="1" x14ac:dyDescent="0.35">
      <c r="A34" s="61" t="s">
        <v>9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3"/>
      <c r="Q34" s="27">
        <f>SUM(Q7:Q33)</f>
      </c>
      <c r="R34" s="15">
        <f>SUM(R7:R33)</f>
      </c>
      <c r="S34" s="16">
        <f>SUM(S7:S33)</f>
      </c>
      <c r="T34" s="36"/>
      <c r="U34" s="36"/>
      <c r="V34" s="36"/>
      <c r="W34" s="36"/>
      <c r="X34" s="36"/>
      <c r="Y34" s="36"/>
      <c r="AA34" s="40"/>
    </row>
    <row r="35" spans="1:27" ht="34.5" customHeight="1" x14ac:dyDescent="0.3">
      <c r="A35" s="17"/>
      <c r="B35" s="17"/>
      <c r="C35" s="17"/>
      <c r="D35" s="17"/>
      <c r="E35" s="17"/>
      <c r="F35" s="17"/>
      <c r="G35" s="18"/>
      <c r="H35" s="18"/>
      <c r="I35" s="19"/>
      <c r="J35" s="19"/>
      <c r="K35" s="19"/>
      <c r="L35" s="19"/>
      <c r="M35" s="64"/>
      <c r="N35" s="65"/>
      <c r="O35" s="65"/>
      <c r="P35" s="66"/>
      <c r="Q35" s="20" t="s">
        <v>7</v>
      </c>
      <c r="R35" s="25">
        <v>400000</v>
      </c>
      <c r="S35" s="18"/>
    </row>
    <row r="36" spans="1:27" ht="34.5" customHeight="1" thickBot="1" x14ac:dyDescent="0.35">
      <c r="A36" s="17"/>
      <c r="B36" s="17"/>
      <c r="C36" s="17"/>
      <c r="D36" s="17"/>
      <c r="E36" s="17"/>
      <c r="F36" s="17"/>
      <c r="G36" s="18"/>
      <c r="H36" s="18"/>
      <c r="I36" s="21"/>
      <c r="J36" s="19"/>
      <c r="K36" s="19"/>
      <c r="L36" s="19"/>
      <c r="M36" s="67"/>
      <c r="N36" s="68"/>
      <c r="O36" s="68"/>
      <c r="P36" s="69"/>
      <c r="Q36" s="22" t="s">
        <v>8</v>
      </c>
      <c r="R36" s="23">
        <f>R34-R35+(S34*0.5)</f>
      </c>
      <c r="S36" s="18"/>
    </row>
  </sheetData>
  <sheetProtection algorithmName="SHA-512" hashValue="QJ8c1IqmsjlBK9LQWIzi3zTJZU+lqZGvMvVW7bUJhDUeQnqktvv3oLZK+Sm8cdpTq230vxLqp1k8kLL6hRJFsw==" saltValue="W8P8PAQdu2j24hCjHkA1lA==" spinCount="100000" sheet="1" selectLockedCells="1"/>
  <mergeCells count="31">
    <mergeCell ref="AB4:AB6"/>
    <mergeCell ref="B31:E31"/>
    <mergeCell ref="F31:G31"/>
    <mergeCell ref="B32:E32"/>
    <mergeCell ref="F32:G32"/>
    <mergeCell ref="AA4:AA6"/>
    <mergeCell ref="Q4:Q6"/>
    <mergeCell ref="R4:R6"/>
    <mergeCell ref="S4:S6"/>
    <mergeCell ref="Z4:Z6"/>
    <mergeCell ref="A34:P34"/>
    <mergeCell ref="M35:P36"/>
    <mergeCell ref="N4:N6"/>
    <mergeCell ref="O4:O6"/>
    <mergeCell ref="P4:P6"/>
    <mergeCell ref="H4:H6"/>
    <mergeCell ref="I4:I6"/>
    <mergeCell ref="J4:J6"/>
    <mergeCell ref="K4:K6"/>
    <mergeCell ref="L4:L6"/>
    <mergeCell ref="M4:M6"/>
    <mergeCell ref="D2:I2"/>
    <mergeCell ref="K2:L2"/>
    <mergeCell ref="M2:O2"/>
    <mergeCell ref="A4:A6"/>
    <mergeCell ref="B4:B6"/>
    <mergeCell ref="C4:C6"/>
    <mergeCell ref="D4:D6"/>
    <mergeCell ref="E4:E6"/>
    <mergeCell ref="F4:F6"/>
    <mergeCell ref="G4:G6"/>
  </mergeCells>
  <phoneticPr fontId="2" type="noConversion"/>
  <conditionalFormatting sqref="B7:H26">
    <cfRule type="expression" dxfId="11" priority="5">
      <formula>$AB7="O"</formula>
    </cfRule>
  </conditionalFormatting>
  <conditionalFormatting sqref="B27:J28">
    <cfRule type="expression" dxfId="10" priority="47">
      <formula>$AA27="O"</formula>
    </cfRule>
  </conditionalFormatting>
  <conditionalFormatting sqref="G27:H30">
    <cfRule type="expression" dxfId="9" priority="48">
      <formula>$AA27="O"</formula>
    </cfRule>
  </conditionalFormatting>
  <conditionalFormatting sqref="H7:H30">
    <cfRule type="expression" dxfId="8" priority="34">
      <formula>$AB7="O"</formula>
    </cfRule>
  </conditionalFormatting>
  <conditionalFormatting sqref="J7:J26">
    <cfRule type="expression" dxfId="7" priority="4">
      <formula>$AB7="O"</formula>
    </cfRule>
  </conditionalFormatting>
  <conditionalFormatting sqref="M7:M26">
    <cfRule type="expression" dxfId="6" priority="21">
      <formula>$AB7="O"</formula>
    </cfRule>
  </conditionalFormatting>
  <conditionalFormatting sqref="M27:M30">
    <cfRule type="expression" dxfId="5" priority="46">
      <formula>$AA27="O"</formula>
    </cfRule>
  </conditionalFormatting>
  <conditionalFormatting sqref="N7:R7 I7:I26 T7:Y26 K7:L28 N7:N33 O8:R26 AA20:AA26 Z27:AA33 B29:L30 B31:B32 H31:N32 F32 B33:N33">
    <cfRule type="expression" dxfId="4" priority="49">
      <formula>$AA7="O"</formula>
    </cfRule>
  </conditionalFormatting>
  <conditionalFormatting sqref="O27:O28">
    <cfRule type="expression" dxfId="3" priority="1">
      <formula>$AA27="O"</formula>
    </cfRule>
  </conditionalFormatting>
  <conditionalFormatting sqref="S7:S26">
    <cfRule type="expression" dxfId="2" priority="26">
      <formula>$AB7="O"</formula>
    </cfRule>
  </conditionalFormatting>
  <conditionalFormatting sqref="Z7:Z26">
    <cfRule type="expression" dxfId="1" priority="3">
      <formula>$AB7="O"</formula>
    </cfRule>
  </conditionalFormatting>
  <conditionalFormatting sqref="AA7:AA19">
    <cfRule type="expression" dxfId="0" priority="40">
      <formula>$AB7="O"</formula>
    </cfRule>
  </conditionalFormatting>
  <dataValidations count="5">
    <dataValidation type="list" allowBlank="1" showInputMessage="1" showErrorMessage="1" sqref="R2">
      <formula1>"대리"</formula1>
    </dataValidation>
    <dataValidation type="list" allowBlank="1" showInputMessage="1" showErrorMessage="1" sqref="D35:D36">
      <formula1>"롯데렌터카,AJ렌터카,레드캡렌터카,JB우리캐피탈,하나캐피탈,아주캐피탈,BNK캐피탈,KB캐피탈,신한카드,메리츠캐피탈,오릭스캐피탈,롯데캐피탈,롯데오토리스,기타업체"</formula1>
    </dataValidation>
    <dataValidation type="list" allowBlank="1" showInputMessage="1" showErrorMessage="1" sqref="AA7:AA30">
      <formula1>"O,X"</formula1>
    </dataValidation>
    <dataValidation type="list" allowBlank="1" showInputMessage="1" showErrorMessage="1" sqref="F31:G31">
      <formula1>"미달성,대리_7대이상,대리_9대이상,대리_12대이상,대리_15대이상,대리_18대이상,대리_21대이상"</formula1>
    </dataValidation>
    <dataValidation type="list" allowBlank="1" showInputMessage="1" showErrorMessage="1" sqref="F32:G32">
      <formula1>"미결제,1개월,3개월,6개월,1년"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>
      <selection activeCell="AA37" sqref="AA37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6월</vt:lpstr>
      <vt:lpstr>원장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동민욱</dc:creator>
  <cp:lastModifiedBy>이재현</cp:lastModifiedBy>
  <dcterms:created xsi:type="dcterms:W3CDTF">2023-12-22T04:16:28Z</dcterms:created>
  <dcterms:modified xsi:type="dcterms:W3CDTF">2026-07-27T02:18:08Z</dcterms:modified>
</cp:coreProperties>
</file>